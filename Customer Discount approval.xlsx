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cal year\"/>
    </mc:Choice>
  </mc:AlternateContent>
  <xr:revisionPtr revIDLastSave="0" documentId="13_ncr:1_{D14E790F-4A2B-4790-B378-39A8C898576B}" xr6:coauthVersionLast="47" xr6:coauthVersionMax="47" xr10:uidLastSave="{00000000-0000-0000-0000-000000000000}"/>
  <bookViews>
    <workbookView xWindow="-98" yWindow="-98" windowWidth="21795" windowHeight="12975" xr2:uid="{C16AFD62-720E-4D1B-B04D-13016CF16F37}"/>
  </bookViews>
  <sheets>
    <sheet name="Dicou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7" i="1" s="1"/>
  <c r="C18" i="1" s="1"/>
  <c r="C19" i="1" s="1"/>
  <c r="C20" i="1" s="1"/>
  <c r="D16" i="1"/>
  <c r="D17" i="1" s="1"/>
  <c r="D18" i="1" s="1"/>
  <c r="D19" i="1" s="1"/>
  <c r="D20" i="1" s="1"/>
  <c r="B16" i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<sst xmlns="http://schemas.openxmlformats.org/spreadsheetml/2006/main" count="23" uniqueCount="22">
  <si>
    <t xml:space="preserve"> </t>
  </si>
  <si>
    <t xml:space="preserve">Customer </t>
  </si>
  <si>
    <t>Croma</t>
  </si>
  <si>
    <t>Products</t>
  </si>
  <si>
    <t>Mouse</t>
  </si>
  <si>
    <t>Date</t>
  </si>
  <si>
    <t xml:space="preserve">Parameter </t>
  </si>
  <si>
    <t>Discount</t>
  </si>
  <si>
    <t>COGS</t>
  </si>
  <si>
    <t>$5.56</t>
  </si>
  <si>
    <t>Avg NIP</t>
  </si>
  <si>
    <t xml:space="preserve">GM Target </t>
  </si>
  <si>
    <t>Realistic</t>
  </si>
  <si>
    <t>Worst case</t>
  </si>
  <si>
    <r>
      <t>B</t>
    </r>
    <r>
      <rPr>
        <b/>
        <i/>
        <sz val="11"/>
        <color theme="1"/>
        <rFont val="Calibri"/>
        <family val="2"/>
        <scheme val="minor"/>
      </rPr>
      <t>est case</t>
    </r>
  </si>
  <si>
    <r>
      <rPr>
        <b/>
        <i/>
        <sz val="11"/>
        <color theme="1"/>
        <rFont val="Calibri"/>
        <family val="2"/>
        <scheme val="minor"/>
      </rPr>
      <t>Customer Discount Approva</t>
    </r>
    <r>
      <rPr>
        <b/>
        <sz val="11"/>
        <color theme="1"/>
        <rFont val="Calibri"/>
        <family val="2"/>
        <scheme val="minor"/>
      </rPr>
      <t>l</t>
    </r>
  </si>
  <si>
    <t>Sales Units</t>
  </si>
  <si>
    <t>Net Invoice Sales</t>
  </si>
  <si>
    <t>Post Discount</t>
  </si>
  <si>
    <t>Net sales</t>
  </si>
  <si>
    <t>Gross Margin</t>
  </si>
  <si>
    <t>vs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</si>
</sst>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$-409]* #,##0.00_ ;_-[$$-409]* \-#,##0.00\ ;_-[$$-409]* &quot;-&quot;??_ ;_-@_ 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5">
    <xf numFmtId="0" fontId="0" fillId="0" borderId="0" xfId="0"/>
    <xf numFmtId="0" fontId="2" fillId="3" borderId="0" xfId="0" applyFont="1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3" fillId="4" borderId="0" xfId="0" applyFont="1" applyFill="1"/>
    <xf numFmtId="0" fontId="2" fillId="4" borderId="0" xfId="0" applyFont="1" applyFill="1"/>
    <xf numFmtId="0" fontId="1" fillId="2" borderId="1" xfId="2" applyBorder="1"/>
    <xf numFmtId="164" fontId="1" fillId="2" borderId="1" xfId="2" applyNumberFormat="1" applyBorder="1"/>
    <xf numFmtId="0" fontId="4" fillId="0" borderId="0" xfId="0" applyFont="1"/>
    <xf numFmtId="164" fontId="0" fillId="2" borderId="1" xfId="2" applyNumberFormat="1" applyFont="1" applyBorder="1"/>
    <xf numFmtId="9" fontId="0" fillId="2" borderId="1" xfId="1" applyFont="1" applyFill="1" applyBorder="1"/>
    <xf numFmtId="165" fontId="0" fillId="2" borderId="1" xfId="1" applyNumberFormat="1" applyFont="1" applyFill="1" applyBorder="1"/>
    <xf numFmtId="164" fontId="0" fillId="0" borderId="1" xfId="0" applyNumberFormat="1" applyBorder="1"/>
    <xf numFmtId="0" fontId="0" fillId="0" borderId="0" xfId="0" applyAlignment="1">
      <alignment horizontal="left" indent="1"/>
    </xf>
  </cellXfs>
  <cellStyles count="3">
    <cellStyle name="20% - Accent1" xfId="2" builtinId="30"/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3A4D530C-ED34-409D-BDA6-6A2A5F46E5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C458-C441-4AE8-9C50-04D6C451326F}">
  <dimension ref="A1:E20"/>
  <sheetViews>
    <sheetView tabSelected="1" view="pageLayout" zoomScaleNormal="100" workbookViewId="0">
      <selection activeCell="D2" sqref="D2"/>
    </sheetView>
  </sheetViews>
  <sheetFormatPr defaultRowHeight="14.25" x14ac:dyDescent="0.45"/>
  <cols>
    <col min="1" max="1" width="23.86328125" bestFit="1" customWidth="1"/>
    <col min="2" max="4" width="12.86328125" bestFit="1" customWidth="1"/>
    <col min="5" max="5" width="12.19921875" bestFit="1" customWidth="1"/>
  </cols>
  <sheetData>
    <row r="1" spans="1:5" x14ac:dyDescent="0.45">
      <c r="A1" t="s">
        <v>0</v>
      </c>
    </row>
    <row r="2" spans="1:5" x14ac:dyDescent="0.45">
      <c r="A2" s="1" t="s">
        <v>15</v>
      </c>
      <c r="D2" s="14"/>
    </row>
    <row r="4" spans="1:5" x14ac:dyDescent="0.45">
      <c r="A4" s="2" t="s">
        <v>1</v>
      </c>
      <c r="B4" s="3" t="s">
        <v>2</v>
      </c>
    </row>
    <row r="5" spans="1:5" x14ac:dyDescent="0.45">
      <c r="A5" s="2" t="s">
        <v>3</v>
      </c>
      <c r="B5" s="3" t="s">
        <v>4</v>
      </c>
    </row>
    <row r="6" spans="1:5" x14ac:dyDescent="0.45">
      <c r="A6" s="2" t="s">
        <v>5</v>
      </c>
      <c r="B6" s="4">
        <v>46322</v>
      </c>
    </row>
    <row r="9" spans="1:5" x14ac:dyDescent="0.45">
      <c r="A9" s="5" t="s">
        <v>6</v>
      </c>
      <c r="B9" s="5" t="s">
        <v>7</v>
      </c>
      <c r="C9" s="5" t="s">
        <v>8</v>
      </c>
      <c r="D9" s="5" t="s">
        <v>10</v>
      </c>
      <c r="E9" s="5" t="s">
        <v>11</v>
      </c>
    </row>
    <row r="10" spans="1:5" x14ac:dyDescent="0.45">
      <c r="B10" s="12">
        <v>0.125</v>
      </c>
      <c r="C10" s="11">
        <v>0.32</v>
      </c>
      <c r="D10" s="10" t="s">
        <v>9</v>
      </c>
      <c r="E10" s="10">
        <v>100000</v>
      </c>
    </row>
    <row r="13" spans="1:5" x14ac:dyDescent="0.45">
      <c r="B13" s="6" t="s">
        <v>14</v>
      </c>
      <c r="C13" s="5" t="s">
        <v>12</v>
      </c>
      <c r="D13" s="5" t="s">
        <v>13</v>
      </c>
    </row>
    <row r="14" spans="1:5" x14ac:dyDescent="0.45">
      <c r="A14" s="5" t="s">
        <v>16</v>
      </c>
      <c r="B14" s="7">
        <v>100000</v>
      </c>
      <c r="C14" s="7">
        <v>50000</v>
      </c>
      <c r="D14" s="7">
        <v>30000</v>
      </c>
    </row>
    <row r="15" spans="1:5" x14ac:dyDescent="0.45">
      <c r="A15" s="5" t="s">
        <v>17</v>
      </c>
      <c r="B15" s="8">
        <v>565000</v>
      </c>
      <c r="C15" s="8">
        <v>282500</v>
      </c>
      <c r="D15" s="8">
        <v>169500</v>
      </c>
    </row>
    <row r="16" spans="1:5" x14ac:dyDescent="0.45">
      <c r="A16" s="5" t="s">
        <v>18</v>
      </c>
      <c r="B16" s="8">
        <f>B15*$B$10</f>
        <v>70625</v>
      </c>
      <c r="C16" s="8">
        <f t="shared" ref="C16:D16" si="0">C15*$B$10</f>
        <v>35312.5</v>
      </c>
      <c r="D16" s="8">
        <f t="shared" si="0"/>
        <v>21187.5</v>
      </c>
    </row>
    <row r="17" spans="1:4" x14ac:dyDescent="0.45">
      <c r="A17" s="5" t="s">
        <v>19</v>
      </c>
      <c r="B17" s="8">
        <f>B15-B16</f>
        <v>494375</v>
      </c>
      <c r="C17" s="8">
        <f t="shared" ref="C17:D17" si="1">C15-C16</f>
        <v>247187.5</v>
      </c>
      <c r="D17" s="8">
        <f t="shared" si="1"/>
        <v>148312.5</v>
      </c>
    </row>
    <row r="18" spans="1:4" x14ac:dyDescent="0.45">
      <c r="A18" s="5" t="s">
        <v>8</v>
      </c>
      <c r="B18" s="8">
        <f>B17*$C$10</f>
        <v>158200</v>
      </c>
      <c r="C18" s="8">
        <f t="shared" ref="C18:D18" si="2">C17*$C$10</f>
        <v>79100</v>
      </c>
      <c r="D18" s="8">
        <f t="shared" si="2"/>
        <v>47460</v>
      </c>
    </row>
    <row r="19" spans="1:4" x14ac:dyDescent="0.45">
      <c r="A19" s="5" t="s">
        <v>20</v>
      </c>
      <c r="B19" s="8">
        <f>B17-B18</f>
        <v>336175</v>
      </c>
      <c r="C19" s="8">
        <f t="shared" ref="C19:D19" si="3">C17-C18</f>
        <v>168087.5</v>
      </c>
      <c r="D19" s="8">
        <f t="shared" si="3"/>
        <v>100852.5</v>
      </c>
    </row>
    <row r="20" spans="1:4" x14ac:dyDescent="0.45">
      <c r="A20" s="9" t="s">
        <v>21</v>
      </c>
      <c r="B20" s="13">
        <f>B19-$E$10</f>
        <v>236175</v>
      </c>
      <c r="C20" s="13">
        <f t="shared" ref="C20:D20" si="4">C19-$E$10</f>
        <v>68087.5</v>
      </c>
      <c r="D20" s="13">
        <f t="shared" si="4"/>
        <v>852.5</v>
      </c>
    </row>
  </sheetData>
  <conditionalFormatting sqref="B20:D20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  <headerFooter>
    <oddHeader>&amp;C&amp;"-,Bold"&amp;18AtliQ hardware&amp;R&amp;G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Dicount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bisht</dc:creator>
  <cp:lastModifiedBy>vivek bisht</cp:lastModifiedBy>
  <dcterms:created xsi:type="dcterms:W3CDTF">2026-10-27T08:26:36Z</dcterms:created>
  <dcterms:modified xsi:type="dcterms:W3CDTF">2026-10-28T21:36:45Z</dcterms:modified>
</cp:coreProperties>
</file>